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722005\Downloads\"/>
    </mc:Choice>
  </mc:AlternateContent>
  <xr:revisionPtr revIDLastSave="0" documentId="13_ncr:1_{0F1836FB-EA35-4206-B962-FDFA68735AF9}" xr6:coauthVersionLast="47" xr6:coauthVersionMax="47" xr10:uidLastSave="{00000000-0000-0000-0000-000000000000}"/>
  <bookViews>
    <workbookView xWindow="-98" yWindow="-98" windowWidth="25846" windowHeight="15511" xr2:uid="{2BBBBB31-DDF5-4B9E-B656-DEE333374054}"/>
  </bookViews>
  <sheets>
    <sheet name="USER_MASTER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6" i="1" l="1"/>
  <c r="H6" i="1"/>
  <c r="E6" i="1"/>
  <c r="L6" i="1" a="1"/>
  <c r="K6" i="1" a="1"/>
  <c r="M6" i="1" a="1"/>
  <c r="L6" i="1" l="1"/>
  <c r="K6" i="1"/>
  <c r="M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<sst xmlns="http://schemas.openxmlformats.org/spreadsheetml/2006/main" count="38" uniqueCount="35">
  <si>
    <t>※数値項目はセルの書式で "0_ " を指定、日付項目はセルの書式で yyyy/mm/dd または yyyy/mm/dd hh:mm:ss を指定</t>
    <phoneticPr fontId="5"/>
  </si>
  <si>
    <t>論理テーブル名</t>
    <rPh sb="0" eb="2">
      <t>ロンリ</t>
    </rPh>
    <rPh sb="6" eb="7">
      <t>メイ</t>
    </rPh>
    <phoneticPr fontId="2"/>
  </si>
  <si>
    <t>物理テーブル名</t>
    <phoneticPr fontId="2"/>
  </si>
  <si>
    <t>USER_MASTER</t>
    <phoneticPr fontId="5"/>
  </si>
  <si>
    <t>ユーザマスタ</t>
    <phoneticPr fontId="5"/>
  </si>
  <si>
    <t>ユーザID</t>
    <phoneticPr fontId="4"/>
  </si>
  <si>
    <t>ユーザ名</t>
    <rPh sb="3" eb="4">
      <t>メイ</t>
    </rPh>
    <phoneticPr fontId="4"/>
  </si>
  <si>
    <t>メールアドレス</t>
    <phoneticPr fontId="4"/>
  </si>
  <si>
    <t>パスワード</t>
    <phoneticPr fontId="4"/>
  </si>
  <si>
    <t>誕生日</t>
    <rPh sb="0" eb="3">
      <t>タンジョウビ</t>
    </rPh>
    <phoneticPr fontId="4"/>
  </si>
  <si>
    <t>削除フラグ</t>
    <rPh sb="0" eb="2">
      <t>サクジョ</t>
    </rPh>
    <phoneticPr fontId="4"/>
  </si>
  <si>
    <t>作成者</t>
    <rPh sb="0" eb="3">
      <t>サクセイシャ</t>
    </rPh>
    <phoneticPr fontId="4"/>
  </si>
  <si>
    <t>作成日</t>
    <rPh sb="0" eb="3">
      <t>サクセイビ</t>
    </rPh>
    <phoneticPr fontId="4"/>
  </si>
  <si>
    <t>更新者</t>
    <rPh sb="0" eb="3">
      <t>コウシンシャ</t>
    </rPh>
    <phoneticPr fontId="4"/>
  </si>
  <si>
    <t>更新日</t>
    <rPh sb="0" eb="3">
      <t>コウシンビ</t>
    </rPh>
    <phoneticPr fontId="4"/>
  </si>
  <si>
    <t>INSERT文</t>
    <rPh sb="6" eb="7">
      <t>ブン</t>
    </rPh>
    <phoneticPr fontId="4"/>
  </si>
  <si>
    <t>UPDATE文</t>
    <rPh sb="6" eb="7">
      <t>ブン</t>
    </rPh>
    <phoneticPr fontId="5"/>
  </si>
  <si>
    <t>SELECT文</t>
    <rPh sb="6" eb="7">
      <t>ブン</t>
    </rPh>
    <phoneticPr fontId="5"/>
  </si>
  <si>
    <t>user_id</t>
    <phoneticPr fontId="4"/>
  </si>
  <si>
    <t>user_name</t>
    <phoneticPr fontId="4"/>
  </si>
  <si>
    <t>mail_address</t>
    <phoneticPr fontId="4"/>
  </si>
  <si>
    <t>password</t>
    <phoneticPr fontId="4"/>
  </si>
  <si>
    <t>birth_date</t>
    <phoneticPr fontId="4"/>
  </si>
  <si>
    <t>delete_flag</t>
    <phoneticPr fontId="4"/>
  </si>
  <si>
    <t>create_user</t>
    <phoneticPr fontId="4"/>
  </si>
  <si>
    <t>create_date</t>
    <phoneticPr fontId="4"/>
  </si>
  <si>
    <t>update_date</t>
    <phoneticPr fontId="4"/>
  </si>
  <si>
    <t>update_user</t>
    <phoneticPr fontId="4"/>
  </si>
  <si>
    <t>0</t>
    <phoneticPr fontId="4"/>
  </si>
  <si>
    <t>00000001</t>
    <phoneticPr fontId="4"/>
  </si>
  <si>
    <t>テストユーザー</t>
    <phoneticPr fontId="4"/>
  </si>
  <si>
    <t>test@~.com</t>
    <phoneticPr fontId="4"/>
  </si>
  <si>
    <t>=InsertSQL(テーブルセル, 登録カラムセル範囲, 登録データセル範囲)</t>
    <rPh sb="19" eb="21">
      <t>トウロク</t>
    </rPh>
    <rPh sb="26" eb="28">
      <t>ハンイ</t>
    </rPh>
    <rPh sb="30" eb="32">
      <t>トウロク</t>
    </rPh>
    <rPh sb="37" eb="39">
      <t>ハンイ</t>
    </rPh>
    <phoneticPr fontId="4"/>
  </si>
  <si>
    <t>=updateSQL(テーブルセル, 更新カラムセル範囲, 更新データセル範囲, 更新条件カラムセル範囲, 更新条件データセル範囲)</t>
    <rPh sb="19" eb="21">
      <t>コウシン</t>
    </rPh>
    <rPh sb="26" eb="28">
      <t>ハンイ</t>
    </rPh>
    <rPh sb="30" eb="32">
      <t>コウシン</t>
    </rPh>
    <rPh sb="37" eb="39">
      <t>ハンイ</t>
    </rPh>
    <rPh sb="41" eb="43">
      <t>コウシン</t>
    </rPh>
    <rPh sb="43" eb="45">
      <t>ジョウケン</t>
    </rPh>
    <rPh sb="50" eb="52">
      <t>ハンイ</t>
    </rPh>
    <rPh sb="54" eb="56">
      <t>コウシン</t>
    </rPh>
    <rPh sb="56" eb="58">
      <t>ジョウケン</t>
    </rPh>
    <rPh sb="63" eb="65">
      <t>ハンイ</t>
    </rPh>
    <phoneticPr fontId="4"/>
  </si>
  <si>
    <t>=selectSQL(テーブルセル, 取得カラムセル範囲, 取得条件カラムセル範囲, 取得条件データセル範囲)</t>
    <rPh sb="19" eb="21">
      <t>シュトク</t>
    </rPh>
    <rPh sb="26" eb="28">
      <t>ハンイ</t>
    </rPh>
    <rPh sb="30" eb="32">
      <t>シュトク</t>
    </rPh>
    <rPh sb="32" eb="34">
      <t>ジョウケン</t>
    </rPh>
    <rPh sb="39" eb="41">
      <t>ハンイ</t>
    </rPh>
    <rPh sb="43" eb="45">
      <t>シュトク</t>
    </rPh>
    <rPh sb="45" eb="47">
      <t>ジョウケン</t>
    </rPh>
    <rPh sb="52" eb="54">
      <t>ハンイ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</si>
</sst>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9" formatCode="yyyy/mm/dd"/>
  </numFmts>
  <fonts count="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0"/>
      <color theme="1"/>
      <name val="Meiryo UI"/>
      <family val="3"/>
      <charset val="128"/>
    </font>
    <font>
      <sz val="6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sz val="10"/>
      <name val="Meiryo UI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0"/>
      <color theme="10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FFE2C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2" borderId="1" xfId="0" applyFont="1" applyFill="1" applyBorder="1">
      <alignment vertical="center"/>
    </xf>
    <xf numFmtId="0" fontId="3" fillId="0" borderId="1" xfId="0" applyFont="1" applyBorder="1">
      <alignment vertical="center"/>
    </xf>
    <xf numFmtId="0" fontId="3" fillId="0" borderId="0" xfId="0" applyFont="1" applyAlignment="1">
      <alignment horizontal="right" vertical="center"/>
    </xf>
    <xf numFmtId="0" fontId="3" fillId="2" borderId="1" xfId="1" applyFont="1" applyFill="1" applyBorder="1">
      <alignment vertical="center"/>
    </xf>
    <xf numFmtId="0" fontId="6" fillId="2" borderId="1" xfId="0" applyFont="1" applyFill="1" applyBorder="1" applyAlignment="1">
      <alignment horizontal="left" vertical="center"/>
    </xf>
    <xf numFmtId="49" fontId="3" fillId="0" borderId="1" xfId="0" applyNumberFormat="1" applyFont="1" applyBorder="1">
      <alignment vertical="center"/>
    </xf>
    <xf numFmtId="0" fontId="3" fillId="3" borderId="1" xfId="0" applyFont="1" applyFill="1" applyBorder="1">
      <alignment vertical="center"/>
    </xf>
    <xf numFmtId="49" fontId="3" fillId="0" borderId="1" xfId="0" quotePrefix="1" applyNumberFormat="1" applyFont="1" applyBorder="1">
      <alignment vertical="center"/>
    </xf>
    <xf numFmtId="49" fontId="8" fillId="0" borderId="1" xfId="2" applyNumberFormat="1" applyFont="1" applyBorder="1">
      <alignment vertical="center"/>
    </xf>
    <xf numFmtId="179" fontId="3" fillId="0" borderId="1" xfId="0" applyNumberFormat="1" applyFont="1" applyBorder="1">
      <alignment vertical="center"/>
    </xf>
    <xf numFmtId="179" fontId="3" fillId="0" borderId="0" xfId="0" applyNumberFormat="1" applyFont="1">
      <alignment vertical="center"/>
    </xf>
    <xf numFmtId="179" fontId="3" fillId="2" borderId="1" xfId="1" applyNumberFormat="1" applyFont="1" applyFill="1" applyBorder="1">
      <alignment vertical="center"/>
    </xf>
    <xf numFmtId="179" fontId="6" fillId="2" borderId="1" xfId="0" applyNumberFormat="1" applyFont="1" applyFill="1" applyBorder="1" applyAlignment="1">
      <alignment horizontal="left" vertical="center"/>
    </xf>
    <xf numFmtId="0" fontId="3" fillId="3" borderId="1" xfId="0" quotePrefix="1" applyFont="1" applyFill="1" applyBorder="1">
      <alignment vertical="center"/>
    </xf>
  </cellXfs>
  <cellStyles count="3">
    <cellStyle name="ハイパーリンク" xfId="2" builtinId="8"/>
    <cellStyle name="標準" xfId="0" builtinId="0"/>
    <cellStyle name="標準 2 3" xfId="1" xr:uid="{717D054A-66E4-4E73-A3E1-5CCCFC8AE10C}"/>
  </cellStyles>
  <dxfs count="0"/>
  <tableStyles count="0" defaultTableStyle="TableStyleMedium2" defaultPivotStyle="PivotStyleLight16"/>
  <colors>
    <mruColors>
      <color rgb="FFFFE2C5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test@~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4C1F4-267C-430F-89AC-1BE048248686}">
  <sheetPr codeName="Sheet1"/>
  <dimension ref="A1:M20"/>
  <sheetViews>
    <sheetView tabSelected="1" workbookViewId="0"/>
  </sheetViews>
  <sheetFormatPr defaultColWidth="14.375" defaultRowHeight="14.25" x14ac:dyDescent="0.7"/>
  <cols>
    <col min="1" max="1" width="11.625" style="1" bestFit="1" customWidth="1"/>
    <col min="2" max="2" width="24" style="1" customWidth="1"/>
    <col min="3" max="3" width="12.125" style="1" bestFit="1" customWidth="1"/>
    <col min="4" max="4" width="8.8125" style="1" bestFit="1" customWidth="1"/>
    <col min="5" max="5" width="11.1875" style="12" bestFit="1" customWidth="1"/>
    <col min="6" max="6" width="10.25" style="1" bestFit="1" customWidth="1"/>
    <col min="7" max="7" width="11" style="1" bestFit="1" customWidth="1"/>
    <col min="8" max="8" width="11.1875" style="12" bestFit="1" customWidth="1"/>
    <col min="9" max="9" width="11.5625" style="1" bestFit="1" customWidth="1"/>
    <col min="10" max="10" width="11.625" style="12" bestFit="1" customWidth="1"/>
    <col min="11" max="11" width="51.375" style="1" bestFit="1" customWidth="1"/>
    <col min="12" max="12" width="89.8125" style="1" bestFit="1" customWidth="1"/>
    <col min="13" max="13" width="73.5" style="1" bestFit="1" customWidth="1"/>
    <col min="14" max="16384" width="14.375" style="1"/>
  </cols>
  <sheetData>
    <row r="1" spans="1:13" x14ac:dyDescent="0.7">
      <c r="A1" s="2" t="s">
        <v>1</v>
      </c>
      <c r="B1" s="3" t="s">
        <v>4</v>
      </c>
      <c r="D1" s="1" t="s">
        <v>0</v>
      </c>
    </row>
    <row r="2" spans="1:13" x14ac:dyDescent="0.7">
      <c r="A2" s="2" t="s">
        <v>2</v>
      </c>
      <c r="B2" s="3" t="s">
        <v>3</v>
      </c>
    </row>
    <row r="3" spans="1:13" x14ac:dyDescent="0.7">
      <c r="I3" s="4"/>
    </row>
    <row r="4" spans="1:13" x14ac:dyDescent="0.7">
      <c r="A4" s="5" t="s">
        <v>5</v>
      </c>
      <c r="B4" s="5" t="s">
        <v>6</v>
      </c>
      <c r="C4" s="5" t="s">
        <v>7</v>
      </c>
      <c r="D4" s="5" t="s">
        <v>8</v>
      </c>
      <c r="E4" s="13" t="s">
        <v>9</v>
      </c>
      <c r="F4" s="5" t="s">
        <v>10</v>
      </c>
      <c r="G4" s="5" t="s">
        <v>11</v>
      </c>
      <c r="H4" s="13" t="s">
        <v>12</v>
      </c>
      <c r="I4" s="5" t="s">
        <v>13</v>
      </c>
      <c r="J4" s="13" t="s">
        <v>14</v>
      </c>
      <c r="K4" s="8" t="s">
        <v>15</v>
      </c>
      <c r="L4" s="8" t="s">
        <v>16</v>
      </c>
      <c r="M4" s="8" t="s">
        <v>17</v>
      </c>
    </row>
    <row r="5" spans="1:13" x14ac:dyDescent="0.7">
      <c r="A5" s="6" t="s">
        <v>18</v>
      </c>
      <c r="B5" s="6" t="s">
        <v>19</v>
      </c>
      <c r="C5" s="6" t="s">
        <v>20</v>
      </c>
      <c r="D5" s="6" t="s">
        <v>21</v>
      </c>
      <c r="E5" s="14" t="s">
        <v>22</v>
      </c>
      <c r="F5" s="6" t="s">
        <v>23</v>
      </c>
      <c r="G5" s="6" t="s">
        <v>24</v>
      </c>
      <c r="H5" s="14" t="s">
        <v>25</v>
      </c>
      <c r="I5" s="6" t="s">
        <v>27</v>
      </c>
      <c r="J5" s="14" t="s">
        <v>26</v>
      </c>
      <c r="K5" s="15" t="s">
        <v>32</v>
      </c>
      <c r="L5" s="15" t="s">
        <v>33</v>
      </c>
      <c r="M5" s="15" t="s">
        <v>34</v>
      </c>
    </row>
    <row r="6" spans="1:13" x14ac:dyDescent="0.7">
      <c r="A6" s="7" t="s">
        <v>29</v>
      </c>
      <c r="B6" s="7" t="s">
        <v>30</v>
      </c>
      <c r="C6" s="10" t="s">
        <v>31</v>
      </c>
      <c r="D6" s="7" t="s">
        <v>21</v>
      </c>
      <c r="E6" s="11">
        <f ca="1">NOW()</f>
        <v>45858.586922337963</v>
      </c>
      <c r="F6" s="7" t="s">
        <v>28</v>
      </c>
      <c r="G6" s="7" t="s">
        <v>29</v>
      </c>
      <c r="H6" s="11">
        <f ca="1">NOW()</f>
        <v>45858.586922337963</v>
      </c>
      <c r="I6" s="7" t="s">
        <v>29</v>
      </c>
      <c r="J6" s="11">
        <f ca="1">NOW()</f>
        <v>45858.586922337963</v>
      </c>
      <c r="K6" s="3" t="str" cm="1">
        <f t="array" aca="1" ref="K6" ca="1">InsertSQL($B$2, A$5:J$5, A6:J6)</f>
        <v>insert into USER_MASTER (user_id, user_name, mail_address, password, birth_date, delete_flag, create_user, create_date, update_user, update_date) values ('00000001', 'テストユーザー', 'test@~.com', 'password', '2025/07/20 14:05:10', '0', '00000001', '2025/07/20 14:05:10', '00000001', '2025/07/20 14:05:10');</v>
      </c>
      <c r="L6" s="3" t="str" cm="1">
        <f t="array" ref="L6">UpdateSQL($B$2, $A$5:$J$5,B12:K12, $A$5:$C$5, B12:D12)</f>
        <v>update USER_MASTER set user_id = NULL, user_name = NULL, mail_address = NULL, password = NULL, birth_date = NULL, delete_flag = NULL, create_user = NULL, create_date = NULL, update_user = NULL, update_date = NULL where user_id = '' and user_name = '' and mail_address = '';</v>
      </c>
      <c r="M6" s="3" t="str" cm="1">
        <f t="array" ref="M6">selectSQL($B$2, $A$5:$J$5)</f>
        <v>select user_id, user_name, mail_address, password, birth_date, delete_flag, create_user, create_date, update_user, update_date from USER_MASTER;</v>
      </c>
    </row>
    <row r="7" spans="1:13" x14ac:dyDescent="0.7">
      <c r="A7" s="9"/>
      <c r="B7" s="7"/>
      <c r="C7" s="7"/>
      <c r="D7" s="7"/>
      <c r="E7" s="11"/>
      <c r="F7" s="7"/>
      <c r="G7" s="7"/>
      <c r="H7" s="11"/>
      <c r="I7" s="7"/>
      <c r="J7" s="11"/>
      <c r="K7" s="3"/>
      <c r="L7" s="3"/>
      <c r="M7" s="3"/>
    </row>
    <row r="8" spans="1:13" x14ac:dyDescent="0.7">
      <c r="A8" s="9"/>
      <c r="B8" s="7"/>
      <c r="C8" s="7"/>
      <c r="D8" s="7"/>
      <c r="E8" s="11"/>
      <c r="F8" s="7"/>
      <c r="G8" s="7"/>
      <c r="H8" s="11"/>
      <c r="I8" s="7"/>
      <c r="J8" s="11"/>
      <c r="K8" s="3"/>
      <c r="L8" s="3"/>
      <c r="M8" s="3"/>
    </row>
    <row r="9" spans="1:13" x14ac:dyDescent="0.7">
      <c r="A9" s="9"/>
      <c r="B9" s="7"/>
      <c r="C9" s="7"/>
      <c r="D9" s="7"/>
      <c r="E9" s="11"/>
      <c r="F9" s="7"/>
      <c r="G9" s="7"/>
      <c r="H9" s="11"/>
      <c r="I9" s="7"/>
      <c r="J9" s="11"/>
      <c r="K9" s="3"/>
      <c r="L9" s="3"/>
      <c r="M9" s="3"/>
    </row>
    <row r="10" spans="1:13" x14ac:dyDescent="0.7">
      <c r="A10" s="9"/>
      <c r="B10" s="7"/>
      <c r="C10" s="7"/>
      <c r="D10" s="7"/>
      <c r="E10" s="11"/>
      <c r="F10" s="7"/>
      <c r="G10" s="7"/>
      <c r="H10" s="11"/>
      <c r="I10" s="7"/>
      <c r="J10" s="11"/>
      <c r="K10" s="3"/>
      <c r="L10" s="3"/>
      <c r="M10" s="3"/>
    </row>
    <row r="11" spans="1:13" x14ac:dyDescent="0.7">
      <c r="A11" s="9"/>
      <c r="B11" s="7"/>
      <c r="C11" s="7"/>
      <c r="D11" s="7"/>
      <c r="E11" s="11"/>
      <c r="F11" s="7"/>
      <c r="G11" s="7"/>
      <c r="H11" s="11"/>
      <c r="I11" s="7"/>
      <c r="J11" s="11"/>
      <c r="K11" s="3"/>
      <c r="L11" s="3"/>
      <c r="M11" s="3"/>
    </row>
    <row r="12" spans="1:13" x14ac:dyDescent="0.7">
      <c r="A12" s="9"/>
      <c r="B12" s="7"/>
      <c r="C12" s="7"/>
      <c r="D12" s="7"/>
      <c r="E12" s="11"/>
      <c r="F12" s="7"/>
      <c r="G12" s="7"/>
      <c r="H12" s="11"/>
      <c r="I12" s="7"/>
      <c r="J12" s="11"/>
      <c r="K12" s="3"/>
      <c r="L12" s="3"/>
      <c r="M12" s="3"/>
    </row>
    <row r="13" spans="1:13" x14ac:dyDescent="0.7">
      <c r="A13" s="9"/>
      <c r="B13" s="7"/>
      <c r="C13" s="7"/>
      <c r="D13" s="7"/>
      <c r="E13" s="11"/>
      <c r="F13" s="7"/>
      <c r="G13" s="7"/>
      <c r="H13" s="11"/>
      <c r="I13" s="7"/>
      <c r="J13" s="11"/>
      <c r="K13" s="3"/>
      <c r="L13" s="3"/>
      <c r="M13" s="3"/>
    </row>
    <row r="14" spans="1:13" x14ac:dyDescent="0.7">
      <c r="A14" s="9"/>
      <c r="B14" s="7"/>
      <c r="C14" s="7"/>
      <c r="D14" s="7"/>
      <c r="E14" s="11"/>
      <c r="F14" s="7"/>
      <c r="G14" s="7"/>
      <c r="H14" s="11"/>
      <c r="I14" s="7"/>
      <c r="J14" s="11"/>
      <c r="K14" s="3"/>
      <c r="L14" s="3"/>
      <c r="M14" s="3"/>
    </row>
    <row r="15" spans="1:13" x14ac:dyDescent="0.7">
      <c r="A15" s="9"/>
      <c r="B15" s="7"/>
      <c r="C15" s="7"/>
      <c r="D15" s="7"/>
      <c r="E15" s="11"/>
      <c r="F15" s="7"/>
      <c r="G15" s="7"/>
      <c r="H15" s="11"/>
      <c r="I15" s="7"/>
      <c r="J15" s="11"/>
      <c r="K15" s="3"/>
      <c r="L15" s="3"/>
      <c r="M15" s="3"/>
    </row>
    <row r="16" spans="1:13" x14ac:dyDescent="0.7">
      <c r="A16" s="9"/>
      <c r="B16" s="7"/>
      <c r="C16" s="7"/>
      <c r="D16" s="7"/>
      <c r="E16" s="11"/>
      <c r="F16" s="7"/>
      <c r="G16" s="7"/>
      <c r="H16" s="11"/>
      <c r="I16" s="7"/>
      <c r="J16" s="11"/>
      <c r="K16" s="3"/>
      <c r="L16" s="3"/>
      <c r="M16" s="3"/>
    </row>
    <row r="17" spans="1:13" x14ac:dyDescent="0.7">
      <c r="A17" s="9"/>
      <c r="B17" s="7"/>
      <c r="C17" s="7"/>
      <c r="D17" s="7"/>
      <c r="E17" s="11"/>
      <c r="F17" s="7"/>
      <c r="G17" s="7"/>
      <c r="H17" s="11"/>
      <c r="I17" s="7"/>
      <c r="J17" s="11"/>
      <c r="K17" s="3"/>
      <c r="L17" s="3"/>
      <c r="M17" s="3"/>
    </row>
    <row r="18" spans="1:13" x14ac:dyDescent="0.7">
      <c r="A18" s="9"/>
      <c r="B18" s="7"/>
      <c r="C18" s="7"/>
      <c r="D18" s="7"/>
      <c r="E18" s="11"/>
      <c r="F18" s="7"/>
      <c r="G18" s="7"/>
      <c r="H18" s="11"/>
      <c r="I18" s="7"/>
      <c r="J18" s="11"/>
      <c r="K18" s="3"/>
      <c r="L18" s="3"/>
      <c r="M18" s="3"/>
    </row>
    <row r="19" spans="1:13" x14ac:dyDescent="0.7">
      <c r="A19" s="9"/>
      <c r="B19" s="7"/>
      <c r="C19" s="7"/>
      <c r="D19" s="7"/>
      <c r="E19" s="11"/>
      <c r="F19" s="7"/>
      <c r="G19" s="7"/>
      <c r="H19" s="11"/>
      <c r="I19" s="7"/>
      <c r="J19" s="11"/>
      <c r="K19" s="3"/>
      <c r="L19" s="3"/>
      <c r="M19" s="3"/>
    </row>
    <row r="20" spans="1:13" x14ac:dyDescent="0.7">
      <c r="A20" s="9"/>
      <c r="B20" s="7"/>
      <c r="C20" s="7"/>
      <c r="D20" s="7"/>
      <c r="E20" s="11"/>
      <c r="F20" s="7"/>
      <c r="G20" s="7"/>
      <c r="H20" s="11"/>
      <c r="I20" s="7"/>
      <c r="J20" s="11"/>
      <c r="K20" s="3"/>
      <c r="L20" s="3"/>
      <c r="M20" s="3"/>
    </row>
  </sheetData>
  <phoneticPr fontId="4"/>
  <hyperlinks>
    <hyperlink ref="C6" r:id="rId1" xr:uid="{742E7C20-574F-420C-B514-32F1434B85C4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USER_MASTER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岡田 俊大 / 製造シス２</dc:creator>
  <cp:lastModifiedBy>岡田 俊大 / 製造シス２</cp:lastModifiedBy>
  <dcterms:created xsi:type="dcterms:W3CDTF">2025-07-17T07:17:06Z</dcterms:created>
  <dcterms:modified xsi:type="dcterms:W3CDTF">2025-07-20T05:05:13Z</dcterms:modified>
</cp:coreProperties>
</file>